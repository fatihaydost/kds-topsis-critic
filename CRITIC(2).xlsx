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Gizem\Downloads\"/>
    </mc:Choice>
  </mc:AlternateContent>
  <xr:revisionPtr revIDLastSave="100" documentId="11_8D6E46DADB511074B85348C8E7A82D313F84238F" xr6:coauthVersionLast="47" xr6:coauthVersionMax="47" xr10:uidLastSave="{E871C14E-0341-4DDD-BA9D-70000F3132BF}"/>
  <bookViews>
    <workbookView xWindow="0" yWindow="0" windowWidth="23040" windowHeight="9084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G47" i="1"/>
  <c r="B47" i="1"/>
  <c r="H44" i="1"/>
  <c r="C44" i="1"/>
  <c r="D44" i="1"/>
  <c r="E44" i="1"/>
  <c r="F44" i="1"/>
  <c r="G44" i="1"/>
  <c r="B44" i="1"/>
  <c r="C41" i="1"/>
  <c r="D41" i="1"/>
  <c r="E41" i="1"/>
  <c r="F41" i="1"/>
  <c r="G41" i="1"/>
  <c r="B41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C35" i="1"/>
  <c r="D35" i="1"/>
  <c r="E35" i="1"/>
  <c r="F35" i="1"/>
  <c r="G35" i="1"/>
  <c r="B35" i="1"/>
  <c r="B14" i="1"/>
  <c r="C14" i="1"/>
  <c r="B11" i="1"/>
  <c r="C12" i="1"/>
  <c r="D12" i="1"/>
  <c r="E12" i="1"/>
  <c r="F12" i="1"/>
  <c r="G12" i="1"/>
  <c r="B12" i="1"/>
  <c r="C11" i="1"/>
  <c r="D11" i="1"/>
  <c r="E11" i="1"/>
  <c r="F11" i="1"/>
  <c r="G11" i="1"/>
  <c r="G15" i="1" l="1"/>
  <c r="G16" i="1"/>
  <c r="G17" i="1"/>
  <c r="G18" i="1"/>
  <c r="G19" i="1"/>
  <c r="G20" i="1"/>
  <c r="G14" i="1"/>
  <c r="G31" i="1" s="1"/>
  <c r="F15" i="1"/>
  <c r="F16" i="1"/>
  <c r="F17" i="1"/>
  <c r="F18" i="1"/>
  <c r="F19" i="1"/>
  <c r="F20" i="1"/>
  <c r="F14" i="1"/>
  <c r="F31" i="1" s="1"/>
  <c r="E15" i="1"/>
  <c r="E16" i="1"/>
  <c r="E17" i="1"/>
  <c r="E18" i="1"/>
  <c r="E19" i="1"/>
  <c r="E20" i="1"/>
  <c r="E14" i="1"/>
  <c r="E31" i="1" s="1"/>
  <c r="B15" i="1"/>
  <c r="B16" i="1"/>
  <c r="B17" i="1"/>
  <c r="B18" i="1"/>
  <c r="B19" i="1"/>
  <c r="B20" i="1"/>
  <c r="D15" i="1"/>
  <c r="D16" i="1"/>
  <c r="D17" i="1"/>
  <c r="D18" i="1"/>
  <c r="D19" i="1"/>
  <c r="D20" i="1"/>
  <c r="D14" i="1"/>
  <c r="D31" i="1" s="1"/>
  <c r="C15" i="1"/>
  <c r="C16" i="1"/>
  <c r="C17" i="1"/>
  <c r="C18" i="1"/>
  <c r="C19" i="1"/>
  <c r="C20" i="1"/>
  <c r="C31" i="1" l="1"/>
  <c r="B31" i="1"/>
  <c r="B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3" i="1"/>
  <c r="D23" i="1"/>
  <c r="E23" i="1"/>
  <c r="F23" i="1"/>
  <c r="G23" i="1"/>
  <c r="B28" i="1"/>
  <c r="B27" i="1"/>
  <c r="B26" i="1"/>
  <c r="B25" i="1"/>
  <c r="B24" i="1"/>
</calcChain>
</file>

<file path=xl/sharedStrings.xml><?xml version="1.0" encoding="utf-8"?>
<sst xmlns="http://schemas.openxmlformats.org/spreadsheetml/2006/main" count="91" uniqueCount="32">
  <si>
    <t>maliyet</t>
  </si>
  <si>
    <t>fayda</t>
  </si>
  <si>
    <t xml:space="preserve">Kriter Yönü </t>
  </si>
  <si>
    <t>min</t>
  </si>
  <si>
    <t>maks</t>
  </si>
  <si>
    <t>Alternatif/Kriter</t>
  </si>
  <si>
    <t>C1</t>
  </si>
  <si>
    <t>C2</t>
  </si>
  <si>
    <t>C3</t>
  </si>
  <si>
    <t>C4</t>
  </si>
  <si>
    <t>C5</t>
  </si>
  <si>
    <t>C6</t>
  </si>
  <si>
    <t>A1</t>
  </si>
  <si>
    <t>A2</t>
  </si>
  <si>
    <t>A3</t>
  </si>
  <si>
    <t>A4</t>
  </si>
  <si>
    <t>A5</t>
  </si>
  <si>
    <t>A6</t>
  </si>
  <si>
    <t>A7</t>
  </si>
  <si>
    <t xml:space="preserve">min </t>
  </si>
  <si>
    <t xml:space="preserve">2.Asama Karar Matrislerinin Normalizasyonu </t>
  </si>
  <si>
    <t>3.Asama Korelasyon katsayısı matrısının elde edılmesı</t>
  </si>
  <si>
    <t>c1</t>
  </si>
  <si>
    <t>c2</t>
  </si>
  <si>
    <t>c3</t>
  </si>
  <si>
    <t>c4</t>
  </si>
  <si>
    <t>c5</t>
  </si>
  <si>
    <t>c6</t>
  </si>
  <si>
    <t>4.Asama ındeks degerı (C) hesaplama</t>
  </si>
  <si>
    <t>Alternatif</t>
  </si>
  <si>
    <t>TOPLAM</t>
  </si>
  <si>
    <t>5.Asama Kriter Ağırlıklarının Hesaplanması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</si>
</sst>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0" workbookViewId="0">
      <selection activeCell="K39" sqref="K39"/>
    </sheetView>
  </sheetViews>
  <sheetFormatPr defaultRowHeight="14.45"/>
  <cols>
    <col min="1" max="1" width="36.5703125" bestFit="1" customWidth="1"/>
    <col min="2" max="2" width="19.28515625" bestFit="1" customWidth="1"/>
  </cols>
  <sheetData>
    <row r="1" spans="1:7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</row>
    <row r="2" spans="1:7">
      <c r="A2" t="s">
        <v>2</v>
      </c>
      <c r="B2" t="s">
        <v>3</v>
      </c>
      <c r="C2" t="s">
        <v>3</v>
      </c>
      <c r="D2" t="s">
        <v>3</v>
      </c>
      <c r="E2" t="s">
        <v>4</v>
      </c>
      <c r="F2" t="s">
        <v>4</v>
      </c>
      <c r="G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>
      <c r="A4" t="s">
        <v>12</v>
      </c>
      <c r="B4">
        <v>5</v>
      </c>
      <c r="C4">
        <v>16</v>
      </c>
      <c r="D4">
        <v>2</v>
      </c>
      <c r="E4">
        <v>4</v>
      </c>
      <c r="F4">
        <v>913</v>
      </c>
      <c r="G4">
        <v>148</v>
      </c>
    </row>
    <row r="5" spans="1:7">
      <c r="A5" t="s">
        <v>13</v>
      </c>
      <c r="B5">
        <v>2</v>
      </c>
      <c r="C5">
        <v>18</v>
      </c>
      <c r="D5">
        <v>10</v>
      </c>
      <c r="E5">
        <v>2</v>
      </c>
      <c r="F5">
        <v>842</v>
      </c>
      <c r="G5">
        <v>75</v>
      </c>
    </row>
    <row r="6" spans="1:7">
      <c r="A6" t="s">
        <v>14</v>
      </c>
      <c r="B6">
        <v>9</v>
      </c>
      <c r="C6">
        <v>12</v>
      </c>
      <c r="D6">
        <v>9</v>
      </c>
      <c r="E6">
        <v>5</v>
      </c>
      <c r="F6">
        <v>720</v>
      </c>
      <c r="G6">
        <v>84</v>
      </c>
    </row>
    <row r="7" spans="1:7">
      <c r="A7" t="s">
        <v>15</v>
      </c>
      <c r="B7">
        <v>10</v>
      </c>
      <c r="C7">
        <v>17</v>
      </c>
      <c r="D7">
        <v>6</v>
      </c>
      <c r="E7">
        <v>9</v>
      </c>
      <c r="F7">
        <v>792</v>
      </c>
      <c r="G7">
        <v>185</v>
      </c>
    </row>
    <row r="8" spans="1:7">
      <c r="A8" t="s">
        <v>16</v>
      </c>
      <c r="B8">
        <v>8</v>
      </c>
      <c r="C8">
        <v>13</v>
      </c>
      <c r="D8">
        <v>8</v>
      </c>
      <c r="E8">
        <v>2</v>
      </c>
      <c r="F8">
        <v>765</v>
      </c>
      <c r="G8">
        <v>246</v>
      </c>
    </row>
    <row r="9" spans="1:7">
      <c r="A9" t="s">
        <v>17</v>
      </c>
      <c r="B9">
        <v>9</v>
      </c>
      <c r="C9">
        <v>16</v>
      </c>
      <c r="D9">
        <v>1</v>
      </c>
      <c r="E9">
        <v>6</v>
      </c>
      <c r="F9">
        <v>260</v>
      </c>
      <c r="G9">
        <v>120</v>
      </c>
    </row>
    <row r="10" spans="1:7">
      <c r="A10" t="s">
        <v>18</v>
      </c>
      <c r="B10">
        <v>2</v>
      </c>
      <c r="C10">
        <v>12</v>
      </c>
      <c r="D10">
        <v>2</v>
      </c>
      <c r="E10">
        <v>2</v>
      </c>
      <c r="F10">
        <v>699</v>
      </c>
      <c r="G10">
        <v>70</v>
      </c>
    </row>
    <row r="11" spans="1:7">
      <c r="A11" t="s">
        <v>19</v>
      </c>
      <c r="B11">
        <f>MIN(B4:B10)</f>
        <v>2</v>
      </c>
      <c r="C11">
        <f t="shared" ref="C11:G11" si="0">MIN(C4:C10)</f>
        <v>12</v>
      </c>
      <c r="D11">
        <f t="shared" si="0"/>
        <v>1</v>
      </c>
      <c r="E11">
        <f t="shared" si="0"/>
        <v>2</v>
      </c>
      <c r="F11">
        <f t="shared" si="0"/>
        <v>260</v>
      </c>
      <c r="G11">
        <f t="shared" si="0"/>
        <v>70</v>
      </c>
    </row>
    <row r="12" spans="1:7">
      <c r="A12" t="s">
        <v>4</v>
      </c>
      <c r="B12">
        <f>MAX(B4:B10)</f>
        <v>10</v>
      </c>
      <c r="C12">
        <f t="shared" ref="C12:G12" si="1">MAX(C4:C10)</f>
        <v>18</v>
      </c>
      <c r="D12">
        <f t="shared" si="1"/>
        <v>10</v>
      </c>
      <c r="E12">
        <f t="shared" si="1"/>
        <v>9</v>
      </c>
      <c r="F12">
        <f t="shared" si="1"/>
        <v>913</v>
      </c>
      <c r="G12">
        <f t="shared" si="1"/>
        <v>246</v>
      </c>
    </row>
    <row r="13" spans="1:7" ht="30.75">
      <c r="A13" s="1" t="s">
        <v>20</v>
      </c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ht="15">
      <c r="A14" t="s">
        <v>12</v>
      </c>
      <c r="B14">
        <f>(B$12-B4)/(B$12-B$11)</f>
        <v>0.625</v>
      </c>
      <c r="C14">
        <f>(C$12-C4)/(C$12-C$11)</f>
        <v>0.33333333333333331</v>
      </c>
      <c r="D14">
        <f>(D$12-D4)/(D$12-D$11)</f>
        <v>0.88888888888888884</v>
      </c>
      <c r="E14">
        <f>(E4-E$11)/(E$12-E$11)</f>
        <v>0.2857142857142857</v>
      </c>
      <c r="F14">
        <f t="shared" ref="F14:G14" si="2">(F4-F$11)/(F$12-F$11)</f>
        <v>1</v>
      </c>
      <c r="G14">
        <f t="shared" si="2"/>
        <v>0.44318181818181818</v>
      </c>
    </row>
    <row r="15" spans="1:7">
      <c r="A15" t="s">
        <v>13</v>
      </c>
      <c r="B15">
        <f>(B$12-B5)/(B$12-B$11)</f>
        <v>1</v>
      </c>
      <c r="C15">
        <f t="shared" ref="B15:D20" si="3">(C$12-C5)/(C$12-C$11)</f>
        <v>0</v>
      </c>
      <c r="D15">
        <f t="shared" si="3"/>
        <v>0</v>
      </c>
      <c r="E15">
        <f t="shared" ref="E15:F20" si="4">(E5-E$11)/(E$12-E$11)</f>
        <v>0</v>
      </c>
      <c r="F15">
        <f t="shared" si="4"/>
        <v>0.89127105666156203</v>
      </c>
      <c r="G15">
        <f t="shared" ref="G15" si="5">(G5-G$11)/(G$12-G$11)</f>
        <v>2.8409090909090908E-2</v>
      </c>
    </row>
    <row r="16" spans="1:7">
      <c r="A16" t="s">
        <v>14</v>
      </c>
      <c r="B16">
        <f t="shared" si="3"/>
        <v>0.125</v>
      </c>
      <c r="C16">
        <f t="shared" si="3"/>
        <v>1</v>
      </c>
      <c r="D16">
        <f t="shared" si="3"/>
        <v>0.1111111111111111</v>
      </c>
      <c r="E16">
        <f t="shared" si="4"/>
        <v>0.42857142857142855</v>
      </c>
      <c r="F16">
        <f t="shared" si="4"/>
        <v>0.70444104134762631</v>
      </c>
      <c r="G16">
        <f t="shared" ref="G16" si="6">(G6-G$11)/(G$12-G$11)</f>
        <v>7.9545454545454544E-2</v>
      </c>
    </row>
    <row r="17" spans="1:7">
      <c r="A17" t="s">
        <v>15</v>
      </c>
      <c r="B17">
        <f t="shared" si="3"/>
        <v>0</v>
      </c>
      <c r="C17">
        <f t="shared" si="3"/>
        <v>0.16666666666666666</v>
      </c>
      <c r="D17">
        <f t="shared" si="3"/>
        <v>0.44444444444444442</v>
      </c>
      <c r="E17">
        <f t="shared" si="4"/>
        <v>1</v>
      </c>
      <c r="F17">
        <f t="shared" si="4"/>
        <v>0.81470137825421129</v>
      </c>
      <c r="G17">
        <f t="shared" ref="G17" si="7">(G7-G$11)/(G$12-G$11)</f>
        <v>0.65340909090909094</v>
      </c>
    </row>
    <row r="18" spans="1:7">
      <c r="A18" t="s">
        <v>16</v>
      </c>
      <c r="B18">
        <f t="shared" si="3"/>
        <v>0.25</v>
      </c>
      <c r="C18">
        <f t="shared" si="3"/>
        <v>0.83333333333333337</v>
      </c>
      <c r="D18">
        <f t="shared" si="3"/>
        <v>0.22222222222222221</v>
      </c>
      <c r="E18">
        <f t="shared" si="4"/>
        <v>0</v>
      </c>
      <c r="F18">
        <f t="shared" si="4"/>
        <v>0.77335375191424194</v>
      </c>
      <c r="G18">
        <f t="shared" ref="G18" si="8">(G8-G$11)/(G$12-G$11)</f>
        <v>1</v>
      </c>
    </row>
    <row r="19" spans="1:7">
      <c r="A19" t="s">
        <v>17</v>
      </c>
      <c r="B19">
        <f t="shared" si="3"/>
        <v>0.125</v>
      </c>
      <c r="C19">
        <f t="shared" si="3"/>
        <v>0.33333333333333331</v>
      </c>
      <c r="D19">
        <f t="shared" si="3"/>
        <v>1</v>
      </c>
      <c r="E19">
        <f t="shared" si="4"/>
        <v>0.5714285714285714</v>
      </c>
      <c r="F19">
        <f t="shared" si="4"/>
        <v>0</v>
      </c>
      <c r="G19">
        <f t="shared" ref="G19" si="9">(G9-G$11)/(G$12-G$11)</f>
        <v>0.28409090909090912</v>
      </c>
    </row>
    <row r="20" spans="1:7">
      <c r="A20" t="s">
        <v>18</v>
      </c>
      <c r="B20">
        <f t="shared" si="3"/>
        <v>1</v>
      </c>
      <c r="C20">
        <f t="shared" si="3"/>
        <v>1</v>
      </c>
      <c r="D20">
        <f t="shared" si="3"/>
        <v>0.88888888888888884</v>
      </c>
      <c r="E20">
        <f t="shared" si="4"/>
        <v>0</v>
      </c>
      <c r="F20">
        <f t="shared" si="4"/>
        <v>0.67228177641653908</v>
      </c>
      <c r="G20">
        <f t="shared" ref="G20" si="10">(G10-G$11)/(G$12-G$11)</f>
        <v>0</v>
      </c>
    </row>
    <row r="22" spans="1:7" ht="30.75">
      <c r="A22" s="1" t="s">
        <v>21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  <c r="G22" t="s">
        <v>11</v>
      </c>
    </row>
    <row r="23" spans="1:7">
      <c r="A23" t="s">
        <v>22</v>
      </c>
      <c r="B23">
        <f>CORREL($B$14:$B$20,B14:B20)</f>
        <v>1</v>
      </c>
      <c r="C23">
        <f>CORREL($B$14:$B$20,C14:C20)</f>
        <v>-5.0728584141010419E-2</v>
      </c>
      <c r="D23">
        <f>CORREL($B$14:$B$20,D14:D20)</f>
        <v>4.8619963554488957E-2</v>
      </c>
      <c r="E23">
        <f>CORREL($B$14:$B$20,E14:E20)</f>
        <v>-0.74696011034346343</v>
      </c>
      <c r="F23">
        <f>CORREL($B$14:$B$20,F14:F20)</f>
        <v>0.36301904801770729</v>
      </c>
      <c r="G23">
        <f>CORREL($B$14:$B$20,G14:G20)</f>
        <v>-0.53767368161469642</v>
      </c>
    </row>
    <row r="24" spans="1:7">
      <c r="A24" t="s">
        <v>23</v>
      </c>
      <c r="B24">
        <f>CORREL($C$14:$C20,B14:B20)</f>
        <v>-5.0728584141010419E-2</v>
      </c>
      <c r="C24">
        <f>CORREL($C$14:$C20,C14:C20)</f>
        <v>1</v>
      </c>
      <c r="D24">
        <f>CORREL($C$14:$C20,D14:D20)</f>
        <v>2.5718245579232805E-2</v>
      </c>
      <c r="E24">
        <f>CORREL($C$14:$C20,E14:E20)</f>
        <v>-0.33999622621614339</v>
      </c>
      <c r="F24">
        <f>CORREL($C$14:$C20,F14:F20)</f>
        <v>-6.6125468008777402E-2</v>
      </c>
      <c r="G24">
        <f>CORREL($C$14:$C20,G14:G20)</f>
        <v>-4.2797318310139935E-2</v>
      </c>
    </row>
    <row r="25" spans="1:7">
      <c r="A25" t="s">
        <v>24</v>
      </c>
      <c r="B25">
        <f>CORREL($D$14:$D20,B14:B20)</f>
        <v>4.8619963554488957E-2</v>
      </c>
      <c r="C25">
        <f>CORREL($D$14:$D20,C14:C20)</f>
        <v>2.5718245579232805E-2</v>
      </c>
      <c r="D25">
        <f>CORREL($D$14:$D20,D14:D20)</f>
        <v>0.99999999999999978</v>
      </c>
      <c r="E25">
        <f>CORREL($D$14:$D20,E14:E20)</f>
        <v>0.16737912137378622</v>
      </c>
      <c r="F25">
        <f>CORREL($D$14:$D20,F14:F20)</f>
        <v>-0.45387807817390724</v>
      </c>
      <c r="G25">
        <f>CORREL($D$14:$D20,G14:G20)</f>
        <v>-6.9871108790969819E-2</v>
      </c>
    </row>
    <row r="26" spans="1:7">
      <c r="A26" t="s">
        <v>25</v>
      </c>
      <c r="B26">
        <f>CORREL($E$14:$E20,B14:B20)</f>
        <v>-0.74696011034346343</v>
      </c>
      <c r="C26">
        <f>CORREL($E$14:$E20,C14:C20)</f>
        <v>-0.33999622621614339</v>
      </c>
      <c r="D26">
        <f>CORREL($E$14:$E20,D14:D20)</f>
        <v>0.16737912137378622</v>
      </c>
      <c r="E26">
        <f>CORREL($E$14:$E20,E14:E20)</f>
        <v>1</v>
      </c>
      <c r="F26">
        <f>CORREL($E$14:$E20,F14:F20)</f>
        <v>-0.2500790698555625</v>
      </c>
      <c r="G26">
        <f>CORREL($E$14:$E20,G14:G20)</f>
        <v>0.19600925760687077</v>
      </c>
    </row>
    <row r="27" spans="1:7">
      <c r="A27" t="s">
        <v>26</v>
      </c>
      <c r="B27">
        <f>CORREL($F$14:$F20,B14:B20)</f>
        <v>0.36301904801770729</v>
      </c>
      <c r="C27">
        <f>CORREL($F$14:$F20,C14:C20)</f>
        <v>-6.6125468008777402E-2</v>
      </c>
      <c r="D27">
        <f>CORREL($F$14:$F20,D14:D20)</f>
        <v>-0.45387807817390724</v>
      </c>
      <c r="E27">
        <f>CORREL($F$14:$F20,E14:E20)</f>
        <v>-0.2500790698555625</v>
      </c>
      <c r="F27">
        <f>CORREL($F$14:$F20,F14:F20)</f>
        <v>0.99999999999999989</v>
      </c>
      <c r="G27">
        <f>CORREL($F$14:$F20,G14:G20)</f>
        <v>0.14322083131242577</v>
      </c>
    </row>
    <row r="28" spans="1:7">
      <c r="A28" t="s">
        <v>27</v>
      </c>
      <c r="B28">
        <f>CORREL($G$14:$G20,B14:B20)</f>
        <v>-0.53767368161469642</v>
      </c>
      <c r="C28">
        <f>CORREL($G$14:$G20,C14:C20)</f>
        <v>-4.2797318310139935E-2</v>
      </c>
      <c r="D28">
        <f>CORREL($G$14:$G20,D14:D20)</f>
        <v>-6.9871108790969819E-2</v>
      </c>
      <c r="E28">
        <f>CORREL($G$14:$G20,E14:E20)</f>
        <v>0.19600925760687077</v>
      </c>
      <c r="F28">
        <f>CORREL($G$14:$G20,F14:F20)</f>
        <v>0.14322083131242577</v>
      </c>
      <c r="G28">
        <f>CORREL($G$14:$G20,G14:G20)</f>
        <v>1.0000000000000002</v>
      </c>
    </row>
    <row r="30" spans="1:7">
      <c r="A30" t="s">
        <v>28</v>
      </c>
      <c r="B30" t="s">
        <v>6</v>
      </c>
      <c r="C30" t="s">
        <v>7</v>
      </c>
      <c r="D30" t="s">
        <v>8</v>
      </c>
      <c r="E30" t="s">
        <v>9</v>
      </c>
      <c r="F30" t="s">
        <v>10</v>
      </c>
      <c r="G30" t="s">
        <v>11</v>
      </c>
    </row>
    <row r="31" spans="1:7">
      <c r="B31">
        <f>STDEV(B14:B20)</f>
        <v>0.42608405162317331</v>
      </c>
      <c r="C31">
        <f t="shared" ref="C31:G31" si="11">STDEV(C14:C20)</f>
        <v>0.41307979935470168</v>
      </c>
      <c r="D31">
        <f t="shared" si="11"/>
        <v>0.41503206706959545</v>
      </c>
      <c r="E31">
        <f t="shared" si="11"/>
        <v>0.37538448058017404</v>
      </c>
      <c r="F31">
        <f t="shared" si="11"/>
        <v>0.32548268342640913</v>
      </c>
      <c r="G31">
        <f t="shared" si="11"/>
        <v>0.37113273844203887</v>
      </c>
    </row>
    <row r="34" spans="1:8">
      <c r="A34" t="s">
        <v>29</v>
      </c>
      <c r="B34" t="s">
        <v>6</v>
      </c>
      <c r="C34" t="s">
        <v>7</v>
      </c>
      <c r="D34" t="s">
        <v>8</v>
      </c>
      <c r="E34" t="s">
        <v>9</v>
      </c>
      <c r="F34" t="s">
        <v>10</v>
      </c>
      <c r="G34" t="s">
        <v>11</v>
      </c>
      <c r="H34">
        <v>1</v>
      </c>
    </row>
    <row r="35" spans="1:8">
      <c r="A35" t="s">
        <v>22</v>
      </c>
      <c r="B35">
        <f>$H$34-B23</f>
        <v>0</v>
      </c>
      <c r="C35">
        <f t="shared" ref="C35:G35" si="12">$H$34-C23</f>
        <v>1.0507285841410103</v>
      </c>
      <c r="D35">
        <f t="shared" si="12"/>
        <v>0.95138003644551106</v>
      </c>
      <c r="E35">
        <f t="shared" si="12"/>
        <v>1.7469601103434633</v>
      </c>
      <c r="F35">
        <f t="shared" si="12"/>
        <v>0.63698095198229265</v>
      </c>
      <c r="G35">
        <f t="shared" si="12"/>
        <v>1.5376736816146965</v>
      </c>
    </row>
    <row r="36" spans="1:8">
      <c r="A36" t="s">
        <v>23</v>
      </c>
      <c r="B36">
        <f t="shared" ref="B36:G36" si="13">$H$34-B24</f>
        <v>1.0507285841410103</v>
      </c>
      <c r="C36">
        <f t="shared" si="13"/>
        <v>0</v>
      </c>
      <c r="D36">
        <f t="shared" si="13"/>
        <v>0.97428175442076714</v>
      </c>
      <c r="E36">
        <f t="shared" si="13"/>
        <v>1.3399962262161433</v>
      </c>
      <c r="F36">
        <f t="shared" si="13"/>
        <v>1.0661254680087775</v>
      </c>
      <c r="G36">
        <f t="shared" si="13"/>
        <v>1.04279731831014</v>
      </c>
    </row>
    <row r="37" spans="1:8">
      <c r="A37" t="s">
        <v>24</v>
      </c>
      <c r="B37">
        <f t="shared" ref="B37:G37" si="14">$H$34-B25</f>
        <v>0.95138003644551106</v>
      </c>
      <c r="C37">
        <f t="shared" si="14"/>
        <v>0.97428175442076714</v>
      </c>
      <c r="D37">
        <f t="shared" si="14"/>
        <v>0</v>
      </c>
      <c r="E37">
        <f t="shared" si="14"/>
        <v>0.83262087862621381</v>
      </c>
      <c r="F37">
        <f t="shared" si="14"/>
        <v>1.4538780781739074</v>
      </c>
      <c r="G37">
        <f t="shared" si="14"/>
        <v>1.0698711087909698</v>
      </c>
    </row>
    <row r="38" spans="1:8">
      <c r="A38" t="s">
        <v>25</v>
      </c>
      <c r="B38">
        <f t="shared" ref="B38:G38" si="15">$H$34-B26</f>
        <v>1.7469601103434633</v>
      </c>
      <c r="C38">
        <f t="shared" si="15"/>
        <v>1.3399962262161433</v>
      </c>
      <c r="D38">
        <f t="shared" si="15"/>
        <v>0.83262087862621381</v>
      </c>
      <c r="E38">
        <f t="shared" si="15"/>
        <v>0</v>
      </c>
      <c r="F38">
        <f t="shared" si="15"/>
        <v>1.2500790698555626</v>
      </c>
      <c r="G38">
        <f t="shared" si="15"/>
        <v>0.80399074239312918</v>
      </c>
    </row>
    <row r="39" spans="1:8">
      <c r="A39" t="s">
        <v>26</v>
      </c>
      <c r="B39">
        <f t="shared" ref="B39:G39" si="16">$H$34-B27</f>
        <v>0.63698095198229265</v>
      </c>
      <c r="C39">
        <f t="shared" si="16"/>
        <v>1.0661254680087775</v>
      </c>
      <c r="D39">
        <f t="shared" si="16"/>
        <v>1.4538780781739074</v>
      </c>
      <c r="E39">
        <f t="shared" si="16"/>
        <v>1.2500790698555626</v>
      </c>
      <c r="F39">
        <f t="shared" si="16"/>
        <v>0</v>
      </c>
      <c r="G39">
        <f t="shared" si="16"/>
        <v>0.8567791686875742</v>
      </c>
    </row>
    <row r="40" spans="1:8">
      <c r="A40" t="s">
        <v>27</v>
      </c>
      <c r="B40">
        <f t="shared" ref="B40:G40" si="17">$H$34-B28</f>
        <v>1.5376736816146965</v>
      </c>
      <c r="C40">
        <f t="shared" si="17"/>
        <v>1.04279731831014</v>
      </c>
      <c r="D40">
        <f t="shared" si="17"/>
        <v>1.0698711087909698</v>
      </c>
      <c r="E40">
        <f t="shared" si="17"/>
        <v>0.80399074239312918</v>
      </c>
      <c r="F40">
        <f t="shared" si="17"/>
        <v>0.8567791686875742</v>
      </c>
      <c r="G40">
        <f t="shared" si="17"/>
        <v>0</v>
      </c>
    </row>
    <row r="41" spans="1:8">
      <c r="A41" t="s">
        <v>30</v>
      </c>
      <c r="B41">
        <f>SUM(B35:B40)</f>
        <v>5.9237233645269747</v>
      </c>
      <c r="C41">
        <f t="shared" ref="C41:G41" si="18">SUM(C35:C40)</f>
        <v>5.4739293510968388</v>
      </c>
      <c r="D41">
        <f t="shared" si="18"/>
        <v>5.2820318564573689</v>
      </c>
      <c r="E41">
        <f t="shared" si="18"/>
        <v>5.9736470274345121</v>
      </c>
      <c r="F41">
        <f t="shared" si="18"/>
        <v>5.2638427367081144</v>
      </c>
      <c r="G41">
        <f t="shared" si="18"/>
        <v>5.3111120197965098</v>
      </c>
    </row>
    <row r="43" spans="1:8">
      <c r="B43" t="s">
        <v>6</v>
      </c>
      <c r="C43" t="s">
        <v>7</v>
      </c>
      <c r="D43" t="s">
        <v>8</v>
      </c>
      <c r="E43" t="s">
        <v>9</v>
      </c>
      <c r="F43" t="s">
        <v>10</v>
      </c>
      <c r="G43" t="s">
        <v>11</v>
      </c>
      <c r="H43" t="s">
        <v>30</v>
      </c>
    </row>
    <row r="44" spans="1:8">
      <c r="B44">
        <f>B31*B41</f>
        <v>2.5240040518525095</v>
      </c>
      <c r="C44">
        <f t="shared" ref="C44:G44" si="19">C31*C41</f>
        <v>2.2611696380328947</v>
      </c>
      <c r="D44">
        <f t="shared" si="19"/>
        <v>2.1922125997129545</v>
      </c>
      <c r="E44">
        <f t="shared" si="19"/>
        <v>2.242414386562805</v>
      </c>
      <c r="F44">
        <f t="shared" si="19"/>
        <v>1.7132896590783702</v>
      </c>
      <c r="G44">
        <f t="shared" si="19"/>
        <v>1.9711275480795067</v>
      </c>
      <c r="H44">
        <f>SUM(B44:G44)</f>
        <v>12.90421788331904</v>
      </c>
    </row>
    <row r="46" spans="1:8" ht="30.75">
      <c r="A46" s="1" t="s">
        <v>31</v>
      </c>
      <c r="B46" t="s">
        <v>6</v>
      </c>
      <c r="C46" t="s">
        <v>7</v>
      </c>
      <c r="D46" t="s">
        <v>8</v>
      </c>
      <c r="E46" t="s">
        <v>9</v>
      </c>
      <c r="F46" t="s">
        <v>10</v>
      </c>
      <c r="G46" t="s">
        <v>11</v>
      </c>
    </row>
    <row r="47" spans="1:8">
      <c r="B47">
        <f>B44/$H$44</f>
        <v>0.19559527548858474</v>
      </c>
      <c r="C47">
        <f t="shared" ref="C47:G47" si="20">C44/$H$44</f>
        <v>0.17522717443851069</v>
      </c>
      <c r="D47">
        <f t="shared" si="20"/>
        <v>0.1698834148287881</v>
      </c>
      <c r="E47">
        <f t="shared" si="20"/>
        <v>0.17377375419718524</v>
      </c>
      <c r="F47">
        <f t="shared" si="20"/>
        <v>0.1327697404499886</v>
      </c>
      <c r="G47">
        <f t="shared" si="20"/>
        <v>0.15275064059694266</v>
      </c>
    </row>
  </sheetData>
  <conditionalFormatting sqref="B47:G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Gizem</dc:creator>
  <cp:keywords/>
  <dc:description/>
  <cp:lastModifiedBy>FATİH AYDOST</cp:lastModifiedBy>
  <cp:revision/>
  <dcterms:created xsi:type="dcterms:W3CDTF">2025-12-10T06:42:55Z</dcterms:created>
  <dcterms:modified xsi:type="dcterms:W3CDTF">2025-12-10T07:27:45Z</dcterms:modified>
  <cp:category/>
  <cp:contentStatus/>
</cp:coreProperties>
</file>